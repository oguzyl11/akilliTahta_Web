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 Liste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<sst xmlns="http://schemas.openxmlformats.org/spreadsheetml/2006/main" count="310" uniqueCount="210">
  <si>
    <t xml:space="preserve">DİJİTAL EĞİTİM PLATFORMU - MODÜL LİSTESİ VE EFOR TABLOSU</t>
  </si>
  <si>
    <t xml:space="preserve">Web Tabanlı Çok Katmanlı Eğitim Yönetim Platformu (Öğrenci / Öğretmen / Veli / Kurum)</t>
  </si>
  <si>
    <t xml:space="preserve">#</t>
  </si>
  <si>
    <t xml:space="preserve">Modül / Görev</t>
  </si>
  <si>
    <t xml:space="preserve">Açıklama</t>
  </si>
  <si>
    <t xml:space="preserve">Saat</t>
  </si>
  <si>
    <t xml:space="preserve">Öncelik</t>
  </si>
  <si>
    <t xml:space="preserve">1. PROJE BAŞLANGICI &amp; PLANLAMA</t>
  </si>
  <si>
    <t xml:space="preserve">Gereksinim analizi &amp; teknik şartname</t>
  </si>
  <si>
    <t xml:space="preserve">Paydaşlarla görüşme (kurum/öğretmen/veli), kullanıcı hikâyeleri, scope dondurma</t>
  </si>
  <si>
    <t xml:space="preserve">Yüksek</t>
  </si>
  <si>
    <t xml:space="preserve">Mimari tasarım &amp; teknoloji seçimi</t>
  </si>
  <si>
    <t xml:space="preserve">Backend/frontend stack, mikroservis vs monolit kararı, mimari diyagramlar</t>
  </si>
  <si>
    <t xml:space="preserve">Veritabanı şema tasarımı</t>
  </si>
  <si>
    <t xml:space="preserve">Multi-tenant şema, ERD, ilişkiler, indeksler, migration planı</t>
  </si>
  <si>
    <t xml:space="preserve">UI/UX wireframe &amp; mockup</t>
  </si>
  <si>
    <t xml:space="preserve">Öğrenci, öğretmen, veli, kurum ve admin panelleri için ekran tasarımları</t>
  </si>
  <si>
    <t xml:space="preserve">Proje altyapı kurulumu</t>
  </si>
  <si>
    <t xml:space="preserve">Repo, CI/CD, dev/staging/prod environment, Docker, ortam değişkenleri</t>
  </si>
  <si>
    <t xml:space="preserve">   ↳ Kategori Toplamı</t>
  </si>
  <si>
    <t xml:space="preserve">2. AUTH &amp; MULTI-TENANT ALTYAPI</t>
  </si>
  <si>
    <t xml:space="preserve">Multi-role authentication sistemi</t>
  </si>
  <si>
    <t xml:space="preserve">Öğrenci, öğretmen, veli, kurum admin, süper admin rolleri; JWT/Sanctum</t>
  </si>
  <si>
    <t xml:space="preserve">Kuruma özel subdomain &amp; branding</t>
  </si>
  <si>
    <t xml:space="preserve">okul.platform.com mantığı, login ekranı özelleştirme (logo, renk)</t>
  </si>
  <si>
    <t xml:space="preserve">Şifre sıfırlama &amp; e-posta doğrulama</t>
  </si>
  <si>
    <t xml:space="preserve">Mail template, token yönetimi, güvenlik politikaları</t>
  </si>
  <si>
    <t xml:space="preserve">Yetki &amp; izin sistemi (RBAC)</t>
  </si>
  <si>
    <t xml:space="preserve">Permission/policy yapısı, route guardları, scope bazlı veri erişimi</t>
  </si>
  <si>
    <t xml:space="preserve">Tenant izolasyonu &amp; veri ayrıştırma</t>
  </si>
  <si>
    <t xml:space="preserve">Her kurumun verisinin diğerlerinden izole edilmesi, sorgu seviyesinde filtre</t>
  </si>
  <si>
    <t xml:space="preserve">3. KURUM &amp; KULLANICI YÖNETİMİ</t>
  </si>
  <si>
    <t xml:space="preserve">Kurum (okul) CRUD modülü</t>
  </si>
  <si>
    <t xml:space="preserve">Kurum ekleme, düzenleme, listeleme, lisans tipi/limit yönetimi</t>
  </si>
  <si>
    <t xml:space="preserve">Sınıf &amp; şube yönetimi</t>
  </si>
  <si>
    <t xml:space="preserve">Sınıf oluşturma, öğrenci-öğretmen-veli atamaları</t>
  </si>
  <si>
    <t xml:space="preserve">Toplu kullanıcı içe aktarma</t>
  </si>
  <si>
    <t xml:space="preserve">Excel/CSV ile öğrenci ve veli bilgilerinin toplu yüklenmesi</t>
  </si>
  <si>
    <t xml:space="preserve">Orta</t>
  </si>
  <si>
    <t xml:space="preserve">Veli-öğrenci eşleştirme</t>
  </si>
  <si>
    <t xml:space="preserve">Bir velinin birden fazla çocuğunu bağlayabilmesi, davet sistemi</t>
  </si>
  <si>
    <t xml:space="preserve">Profil &amp; ayarlar yönetimi</t>
  </si>
  <si>
    <t xml:space="preserve">Avatar, iletişim bilgileri, bildirim tercihleri, şifre değişimi</t>
  </si>
  <si>
    <t xml:space="preserve">4. PDF YÜKLEME &amp; İÇERİK YÖNETİMİ</t>
  </si>
  <si>
    <t xml:space="preserve">PDF upload &amp; metadata arayüzü</t>
  </si>
  <si>
    <t xml:space="preserve">Drag-drop yükleme, kitap adı, sınıf seviyesi, ders, kapak görseli</t>
  </si>
  <si>
    <t xml:space="preserve">PDF storage &amp; versiyon yönetimi</t>
  </si>
  <si>
    <t xml:space="preserve">S3/MinIO entegrasyonu, sürüm takibi, dosya organizasyonu</t>
  </si>
  <si>
    <t xml:space="preserve">Kategori, ders &amp; sınıf hiyerarşisi</t>
  </si>
  <si>
    <t xml:space="preserve">Hiyerarşik kategori, çoklu etiket, içerik filtreleme</t>
  </si>
  <si>
    <t xml:space="preserve">Kuruma kitap atama sistemi</t>
  </si>
  <si>
    <t xml:space="preserve">Tekli/çoklu atama, sınıf bazlı erişim, geçerlilik tarihi</t>
  </si>
  <si>
    <t xml:space="preserve">5. PDF → İNTERAKTİF DÖNÜŞÜM PIPELINE</t>
  </si>
  <si>
    <t xml:space="preserve">PDF → görsel render motoru</t>
  </si>
  <si>
    <t xml:space="preserve">PyMuPDF ile sayfa-sayfa yüksek çözünürlüklü WebP üretimi</t>
  </si>
  <si>
    <t xml:space="preserve">Metin çıkarma &amp; koordinat haritalama</t>
  </si>
  <si>
    <t xml:space="preserve">pdfplumber ile metin parçalarının x,y,w,h koordinatları</t>
  </si>
  <si>
    <t xml:space="preserve">Sayfa render &amp; gezinme arayüzü</t>
  </si>
  <si>
    <t xml:space="preserve">Web tabanlı kitap görüntüleyici, sayfa geçişi, zoom, thumbnail</t>
  </si>
  <si>
    <t xml:space="preserve">Tam ekran &amp; akıllı tahta modu</t>
  </si>
  <si>
    <t xml:space="preserve">Full screen, dokunmatik gesture desteği, büyük buton optimizasyonu</t>
  </si>
  <si>
    <t xml:space="preserve">Görsel optimizasyon &amp; sıkıştırma</t>
  </si>
  <si>
    <t xml:space="preserve">WebP dönüşümü, lazy loading, CDN entegrasyonu</t>
  </si>
  <si>
    <t xml:space="preserve">İş kuyruğu &amp; async işleme</t>
  </si>
  <si>
    <t xml:space="preserve">Celery/Redis veya Laravel Queue ile arka plan işleri, ilerleme takibi</t>
  </si>
  <si>
    <t xml:space="preserve">6. İÇERİK ETKİLEŞİM EDİTÖRÜ</t>
  </si>
  <si>
    <t xml:space="preserve">Hotspot/tıklanabilir bölge çizici</t>
  </si>
  <si>
    <t xml:space="preserve">Konva/Fabric.js ile sayfa üzerine etkileşim alanları çizme</t>
  </si>
  <si>
    <t xml:space="preserve">Video bağlantı &amp; gömme arayüzü</t>
  </si>
  <si>
    <t xml:space="preserve">YouTube/Vimeo veya yerel video sayfaya bağlama</t>
  </si>
  <si>
    <t xml:space="preserve">Test/soru editörü</t>
  </si>
  <si>
    <t xml:space="preserve">Çoktan seçmeli, doğru-yanlış, boşluk doldurma, eşleştirme</t>
  </si>
  <si>
    <t xml:space="preserve">Doğru cevap &amp; feedback tanımlama</t>
  </si>
  <si>
    <t xml:space="preserve">Cevap işaretleme, açıklama, puan ataması, çözüm yönlendirmesi</t>
  </si>
  <si>
    <t xml:space="preserve">Yönlendirme &amp; link ekleme</t>
  </si>
  <si>
    <t xml:space="preserve">Sayfa içi atlama, harici link, popup mesaj tetikleme</t>
  </si>
  <si>
    <t xml:space="preserve">Önizleme modu</t>
  </si>
  <si>
    <t xml:space="preserve">Yöneticinin eklediği etkileşimleri canlı test etmesi</t>
  </si>
  <si>
    <t xml:space="preserve">7. ÖĞRENCİ PANELİ</t>
  </si>
  <si>
    <t xml:space="preserve">Öğrenci ana sayfa &amp; kitaplık</t>
  </si>
  <si>
    <t xml:space="preserve">Atanmış kitaplar, son okunan, devam eden ödevler özeti</t>
  </si>
  <si>
    <t xml:space="preserve">İnteraktif kitap okuyucu</t>
  </si>
  <si>
    <t xml:space="preserve">Sayfa gezinme, etkileşim noktaları, video oynatıcı, zoom</t>
  </si>
  <si>
    <t xml:space="preserve">Test çözme arayüzü</t>
  </si>
  <si>
    <t xml:space="preserve">Soru gösterimi, cevap toplama, anlık geri bildirim, sonuç ekranı</t>
  </si>
  <si>
    <t xml:space="preserve">Ödev modülü (öğrenci tarafı)</t>
  </si>
  <si>
    <t xml:space="preserve">Atanmış ödev listesi, durum (yapıldı/yapılmadı), teslim</t>
  </si>
  <si>
    <t xml:space="preserve">Aktivite &amp; ilerleme görüntüleme</t>
  </si>
  <si>
    <t xml:space="preserve">Öğrencinin kendi sayfa-test-video istatistikleri</t>
  </si>
  <si>
    <t xml:space="preserve">8. ÖĞRETMEN PANELİ</t>
  </si>
  <si>
    <t xml:space="preserve">Sınıf &amp; öğrenci listesi</t>
  </si>
  <si>
    <t xml:space="preserve">Öğretmenin sorumlu olduğu sınıflar ve öğrenci detayları</t>
  </si>
  <si>
    <t xml:space="preserve">Test sonuçları &amp; analiz ekranı</t>
  </si>
  <si>
    <t xml:space="preserve">Öğrenci bazlı, sınıf bazlı, soru bazlı doğru-yanlış istatistik</t>
  </si>
  <si>
    <t xml:space="preserve">Aktivite geçmişi izleme</t>
  </si>
  <si>
    <t xml:space="preserve">Hangi öğrenci, ne zaman, ne yaptı – zaman damgalı log görünümü</t>
  </si>
  <si>
    <t xml:space="preserve">Ödev oluşturma sihirbazı</t>
  </si>
  <si>
    <t xml:space="preserve">Kitap bölümü seçimi, video atama, serbest metin yönergesi</t>
  </si>
  <si>
    <t xml:space="preserve">Ödev takibi &amp; değerlendirme</t>
  </si>
  <si>
    <t xml:space="preserve">Teslim durumu, otomatik puanlama, manuel notlama</t>
  </si>
  <si>
    <t xml:space="preserve">Veli bildirimi gönderme</t>
  </si>
  <si>
    <t xml:space="preserve">Sistem üzerinden bireysel/toplu mesaj iletme</t>
  </si>
  <si>
    <t xml:space="preserve">9. VELİ PANELİ</t>
  </si>
  <si>
    <t xml:space="preserve">Çocuk bilgileri &amp; performans özeti</t>
  </si>
  <si>
    <t xml:space="preserve">Veliye sadece kendi çocuğunun verilerinin gösterilmesi</t>
  </si>
  <si>
    <t xml:space="preserve">Test sonuçları &amp; ödev durumu</t>
  </si>
  <si>
    <t xml:space="preserve">Detaylı performans grafiği, geçmiş test sonuçları</t>
  </si>
  <si>
    <t xml:space="preserve">Öğretmen rapor &amp; mesajları</t>
  </si>
  <si>
    <t xml:space="preserve">Gelen bildirim ve raporları görüntüleme</t>
  </si>
  <si>
    <t xml:space="preserve">Veli akademisi (video kütüphanesi)</t>
  </si>
  <si>
    <t xml:space="preserve">Kurumun veliler için yüklediği psikoeğitim/rehberlik videoları</t>
  </si>
  <si>
    <t xml:space="preserve">10. KURUM / YÖNETİM PANELİ</t>
  </si>
  <si>
    <t xml:space="preserve">Kurum dashboard &amp; KPI özeti</t>
  </si>
  <si>
    <t xml:space="preserve">Aktif kullanıcı, ödev tamamlama, sınıf başarı oranları</t>
  </si>
  <si>
    <t xml:space="preserve">Sınıf &amp; şube karşılaştırma raporları</t>
  </si>
  <si>
    <t xml:space="preserve">Sınıflar arası başarı kıyaslama, trend grafikleri</t>
  </si>
  <si>
    <t xml:space="preserve">Bireysel öğrenci performans takibi</t>
  </si>
  <si>
    <t xml:space="preserve">Detaylı öğrenci kartı, gelişim çizelgesi</t>
  </si>
  <si>
    <t xml:space="preserve">Okul geneli başarı raporları</t>
  </si>
  <si>
    <t xml:space="preserve">Ders/sınıf/dönem bazlı agregasyon, filtreleme</t>
  </si>
  <si>
    <t xml:space="preserve">PDF rapor üretimi &amp; dışa aktarma</t>
  </si>
  <si>
    <t xml:space="preserve">Filtrelenmiş raporların PDF/Excel olarak indirilmesi</t>
  </si>
  <si>
    <t xml:space="preserve">11. AKTİVİTE LOG &amp; ANALİTİK</t>
  </si>
  <si>
    <t xml:space="preserve">Olay loglama altyapısı</t>
  </si>
  <si>
    <t xml:space="preserve">Sayfa açma, test başlatma/bitirme, video izleme eventleri</t>
  </si>
  <si>
    <t xml:space="preserve">Zaman damgalı aktivite görüntüleyici</t>
  </si>
  <si>
    <t xml:space="preserve">Tüm panellerde kullanılabilen ortak log component</t>
  </si>
  <si>
    <t xml:space="preserve">Agregasyon &amp; istatistik motoru</t>
  </si>
  <si>
    <t xml:space="preserve">Sınıf/okul/dönem bazlı toplama, cache stratejisi</t>
  </si>
  <si>
    <t xml:space="preserve">Grafik &amp; görselleştirme (Chart.js)</t>
  </si>
  <si>
    <t xml:space="preserve">Pasta, çubuk, çizgi grafikler – panellere entegrasyon</t>
  </si>
  <si>
    <t xml:space="preserve">12. BİLDİRİM &amp; İLETİŞİM</t>
  </si>
  <si>
    <t xml:space="preserve">In-app bildirim sistemi</t>
  </si>
  <si>
    <t xml:space="preserve">Gerçek zamanlı bildirim merkezi (websocket/pusher)</t>
  </si>
  <si>
    <t xml:space="preserve">E-posta bildirim altyapısı</t>
  </si>
  <si>
    <t xml:space="preserve">Şablon yönetimi, sıraya alma, gönderim takibi</t>
  </si>
  <si>
    <t xml:space="preserve">Veli bildirim akışı</t>
  </si>
  <si>
    <t xml:space="preserve">Test sonucu, ödev durumu, rapor gönderimi tetikleyicileri</t>
  </si>
  <si>
    <t xml:space="preserve">13. GÜVENLİK &amp; UYUMLULUK</t>
  </si>
  <si>
    <t xml:space="preserve">HTTPS &amp; şifreli veri iletimi</t>
  </si>
  <si>
    <t xml:space="preserve">SSL sertifikası, secure cookie, HSTS</t>
  </si>
  <si>
    <t xml:space="preserve">Veri şifreleme (at-rest)</t>
  </si>
  <si>
    <t xml:space="preserve">Hassas alanların DB seviyesinde şifrelenmesi</t>
  </si>
  <si>
    <t xml:space="preserve">KVKK uyumluluğu &amp; aydınlatma metni</t>
  </si>
  <si>
    <t xml:space="preserve">Kişisel veri envanteri, açık rıza, silme hakkı işlemleri</t>
  </si>
  <si>
    <t xml:space="preserve">Audit log &amp; oturum yönetimi</t>
  </si>
  <si>
    <t xml:space="preserve">Hassas işlem logu, eş zamanlı oturum kontrolü</t>
  </si>
  <si>
    <t xml:space="preserve">Rate limiting &amp; saldırı koruması</t>
  </si>
  <si>
    <t xml:space="preserve">Brute force koruması, IP filtreleme, CAPTCHA</t>
  </si>
  <si>
    <t xml:space="preserve">14. RESPONSIVE &amp; CİHAZ UYUMLULUĞU</t>
  </si>
  <si>
    <t xml:space="preserve">Masaüstü responsive optimizasyon</t>
  </si>
  <si>
    <t xml:space="preserve">Geniş ekran, çoklu tarayıcı (Chrome, Firefox, Edge, Safari) testi</t>
  </si>
  <si>
    <t xml:space="preserve">Tablet &amp; mobil uyumluluk</t>
  </si>
  <si>
    <t xml:space="preserve">Touch gesture, dikey/yatay layout, mobil menü</t>
  </si>
  <si>
    <t xml:space="preserve">Akıllı tahta modu</t>
  </si>
  <si>
    <t xml:space="preserve">Tam ekran sunum modu, büyük tıklama alanları, kalem desteği</t>
  </si>
  <si>
    <t xml:space="preserve">15. TEST &amp; KALİTE GÜVENCE</t>
  </si>
  <si>
    <t xml:space="preserve">Backend unit &amp; integration testler</t>
  </si>
  <si>
    <t xml:space="preserve">Kritik akışlar için test coverage (auth, ödev, raporlama)</t>
  </si>
  <si>
    <t xml:space="preserve">Frontend bileşen testleri</t>
  </si>
  <si>
    <t xml:space="preserve">Test ve kitap okuyucu gibi kritik bileşenlerin testi</t>
  </si>
  <si>
    <t xml:space="preserve">PDF pipeline test senaryoları</t>
  </si>
  <si>
    <t xml:space="preserve">Farklı PDF formatları (metin, taranmış, korumalı) testi</t>
  </si>
  <si>
    <t xml:space="preserve">End-to-end senaryolar</t>
  </si>
  <si>
    <t xml:space="preserve">Öğretmen ödev atama → öğrenci çözme → veli görüntüleme tam akışı</t>
  </si>
  <si>
    <t xml:space="preserve">Çok cihazlı uyumluluk testleri</t>
  </si>
  <si>
    <t xml:space="preserve">PC, tablet, akıllı tahta üzerinde gerçek cihaz testi</t>
  </si>
  <si>
    <t xml:space="preserve">Performans &amp; yük testi</t>
  </si>
  <si>
    <t xml:space="preserve">Eş zamanlı 500+ kullanıcı simülasyonu, yanıt süresi ölçümü</t>
  </si>
  <si>
    <t xml:space="preserve">Bug fix &amp; polish dönemi</t>
  </si>
  <si>
    <t xml:space="preserve">QA sonrası düzeltmeler, UI ince ayarları</t>
  </si>
  <si>
    <t xml:space="preserve">16. DEPLOYMENT &amp; DEVOPS</t>
  </si>
  <si>
    <t xml:space="preserve">Sunucu kurulum &amp; konfigürasyon</t>
  </si>
  <si>
    <t xml:space="preserve">Nginx, PHP/Node, SSL, domain, firewall, subdomain wildcard</t>
  </si>
  <si>
    <t xml:space="preserve">Object storage kurulumu (S3/MinIO)</t>
  </si>
  <si>
    <t xml:space="preserve">PDF, görsel, video dosyaları için bucket setup</t>
  </si>
  <si>
    <t xml:space="preserve">Backup &amp; monitoring</t>
  </si>
  <si>
    <t xml:space="preserve">Otomatik DB yedekleme, Sentry, log toplama, uptime izleme</t>
  </si>
  <si>
    <t xml:space="preserve">CI/CD pipeline</t>
  </si>
  <si>
    <t xml:space="preserve">GitHub Actions, otomatik deploy, rollback stratejisi</t>
  </si>
  <si>
    <t xml:space="preserve">17. DOKÜMANTASYON &amp; EĞİTİM</t>
  </si>
  <si>
    <t xml:space="preserve">Yönetici (kurum admin) kılavuzu</t>
  </si>
  <si>
    <t xml:space="preserve">Kullanıcı ekleme, kitap atama, rapor alma adım adım</t>
  </si>
  <si>
    <t xml:space="preserve">Öğretmen kullanım kılavuzu</t>
  </si>
  <si>
    <t xml:space="preserve">Ödev oluşturma, rapor okuma, sınıf yönetimi</t>
  </si>
  <si>
    <t xml:space="preserve">Öğrenci &amp; veli kısa rehberleri</t>
  </si>
  <si>
    <t xml:space="preserve">Görsel ağırlıklı, basit dilli kullanım dokümanı</t>
  </si>
  <si>
    <t xml:space="preserve">Teknik dokümantasyon</t>
  </si>
  <si>
    <t xml:space="preserve">API docs, mimari diyagramı, runbook, deployment notları</t>
  </si>
  <si>
    <t xml:space="preserve">Müşteri eğitim oturumu</t>
  </si>
  <si>
    <t xml:space="preserve">Canlı/online eğitim, soru-cevap, kayıt video</t>
  </si>
  <si>
    <t xml:space="preserve">18. PROJE YÖNETİMİ &amp; İLETİŞİM</t>
  </si>
  <si>
    <t xml:space="preserve">Müşteri toplantıları &amp; demo</t>
  </si>
  <si>
    <t xml:space="preserve">Haftalık checkpoint, milestone sunumları, sprint demoları</t>
  </si>
  <si>
    <t xml:space="preserve">Revizyon &amp; değişiklik yönetimi</t>
  </si>
  <si>
    <t xml:space="preserve">Müşteri geri bildirim sonrası iterasyonlar</t>
  </si>
  <si>
    <t xml:space="preserve">İç ekip koordinasyonu</t>
  </si>
  <si>
    <t xml:space="preserve">Daily standup, sprint planning, retrospective, code review</t>
  </si>
  <si>
    <t xml:space="preserve">GENEL TOPLAM (Adam-Saat)</t>
  </si>
  <si>
    <t xml:space="preserve">NOTLAR &amp; VARSAYIMLAR</t>
  </si>
  <si>
    <t xml:space="preserve">• Toplam efor kalibrasyonu tahminidir; gereksinim analizi sonrası ±%15 sapma olabilir. 3 kişilik paralel ekip ile yaklaşık 14-16 hafta öngörülmektedir.</t>
  </si>
  <si>
    <t xml:space="preserve">• Backend için Laravel (PHP) veya NestJS (Node.js); frontend için Vue.js/Nuxt veya Next.js (React); PDF işleme pipeline'ı Python (PyMuPDF, pdfplumber). Stack seçimi gereksinim analizi safhasında netleştirilecektir.</t>
  </si>
  <si>
    <t xml:space="preserve">• Multi-tenant mimari varsayılmıştır: her kurum kendi subdomaini ve özelleştirilmiş login ekranı ile erişir; tüm kurumlar tek altyapı üzerinde rol bazlı izolasyonla çalışır.</t>
  </si>
  <si>
    <t xml:space="preserve">• Standart, metin tabanlı PDF varsayımı yapılmıştır. Taranmış/korumalı PDF'ler için OCR ek modül olarak değerlendirilebilir; aşırı bozuk dosyalar ek efor gerektirir.</t>
  </si>
  <si>
    <t xml:space="preserve">• KVKK uyumluluğu kapsamında aydınlatma metni, açık rıza akışları ve veri silme talebi işlemleri dahildir; resmi denetim süreci müşteri sorumluluğundadır.</t>
  </si>
  <si>
    <t xml:space="preserve">• Maks 3 büyük revizyon hakkı dahildir. Sonraki revizyonlar saat bazlı ek faturalanır.</t>
  </si>
  <si>
    <t xml:space="preserve">• 3 ay garanti süresi dahildir (sadece bug fix). Sonraki dönem için aylık bakım &amp; destek kontratı önerilir.</t>
  </si>
  <si>
    <t xml:space="preserve">• Mobil native uygulama (iOS/Android) bu kapsam dışındadır; platform responsive web olarak tüm cihazlarla uyumlu çalışır. Native uygulama Faz 2 olarak planlanabilir.</t>
  </si>
  <si>
    <t xml:space="preserve">• Akıllı tahta entegrasyonu web tabanlı tam ekran modu üzerinden sağlanır; cihaza özel installer (.exe/.apk) gereksinimi varsa ek modül olarak değerlendirilir.</t>
  </si>
  <si>
    <t xml:space="preserve">• Üçüncü parti servis maliyetleri (mail gönderim, SMS, video CDN, sunucu, domain, SSL) müşteriye aittir ve bu tabloya dahil değildir.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</si>
</sst>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1.75" hidden="false" customHeight="true" outlineLevel="0" collapsed="false">
      <c r="A5" s="4" t="s">
        <v>7</v>
      </c>
      <c r="B5" s="4"/>
      <c r="C5" s="4"/>
      <c r="D5" s="4"/>
      <c r="E5" s="4"/>
    </row>
    <row r="6" customFormat="false" ht="30" hidden="false" customHeight="true" outlineLevel="0" collapsed="false">
      <c r="A6" s="5" t="n">
        <v>1</v>
      </c>
      <c r="B6" s="6" t="s">
        <v>8</v>
      </c>
      <c r="C6" s="6" t="s">
        <v>9</v>
      </c>
      <c r="D6" s="5" t="n">
        <v>16</v>
      </c>
      <c r="E6" s="5" t="s">
        <v>10</v>
      </c>
    </row>
    <row r="7" customFormat="false" ht="30" hidden="false" customHeight="true" outlineLevel="0" collapsed="false">
      <c r="A7" s="5" t="n">
        <v>2</v>
      </c>
      <c r="B7" s="6" t="s">
        <v>11</v>
      </c>
      <c r="C7" s="6" t="s">
        <v>12</v>
      </c>
      <c r="D7" s="5" t="n">
        <v>12</v>
      </c>
      <c r="E7" s="5" t="s">
        <v>10</v>
      </c>
    </row>
    <row r="8" customFormat="false" ht="30" hidden="false" customHeight="true" outlineLevel="0" collapsed="false">
      <c r="A8" s="5" t="n">
        <v>3</v>
      </c>
      <c r="B8" s="6" t="s">
        <v>13</v>
      </c>
      <c r="C8" s="6" t="s">
        <v>14</v>
      </c>
      <c r="D8" s="5" t="n">
        <v>10</v>
      </c>
      <c r="E8" s="5" t="s">
        <v>10</v>
      </c>
    </row>
    <row r="9" customFormat="false" ht="30" hidden="false" customHeight="true" outlineLevel="0" collapsed="false">
      <c r="A9" s="5" t="n">
        <v>4</v>
      </c>
      <c r="B9" s="6" t="s">
        <v>15</v>
      </c>
      <c r="C9" s="6" t="s">
        <v>16</v>
      </c>
      <c r="D9" s="5" t="n">
        <v>20</v>
      </c>
      <c r="E9" s="5" t="s">
        <v>10</v>
      </c>
    </row>
    <row r="10" customFormat="false" ht="30" hidden="false" customHeight="true" outlineLevel="0" collapsed="false">
      <c r="A10" s="5" t="n">
        <v>5</v>
      </c>
      <c r="B10" s="6" t="s">
        <v>17</v>
      </c>
      <c r="C10" s="6" t="s">
        <v>18</v>
      </c>
      <c r="D10" s="5" t="n">
        <v>10</v>
      </c>
      <c r="E10" s="5" t="s">
        <v>10</v>
      </c>
    </row>
    <row r="11" customFormat="false" ht="15" hidden="false" customHeight="false" outlineLevel="0" collapsed="false">
      <c r="A11" s="7" t="s">
        <v>19</v>
      </c>
      <c r="B11" s="7"/>
      <c r="C11" s="7"/>
      <c r="D11" s="8" t="n">
        <f aca="false">SUM(D6:D10)</f>
        <v>68</v>
      </c>
      <c r="E11" s="9"/>
    </row>
    <row r="12" customFormat="false" ht="21.75" hidden="false" customHeight="true" outlineLevel="0" collapsed="false">
      <c r="A12" s="4" t="s">
        <v>20</v>
      </c>
      <c r="B12" s="4"/>
      <c r="C12" s="4"/>
      <c r="D12" s="4"/>
      <c r="E12" s="4"/>
    </row>
    <row r="13" customFormat="false" ht="30" hidden="false" customHeight="true" outlineLevel="0" collapsed="false">
      <c r="A13" s="5" t="n">
        <v>6</v>
      </c>
      <c r="B13" s="6" t="s">
        <v>21</v>
      </c>
      <c r="C13" s="6" t="s">
        <v>22</v>
      </c>
      <c r="D13" s="5" t="n">
        <v>16</v>
      </c>
      <c r="E13" s="5" t="s">
        <v>10</v>
      </c>
    </row>
    <row r="14" customFormat="false" ht="30" hidden="false" customHeight="true" outlineLevel="0" collapsed="false">
      <c r="A14" s="5" t="n">
        <v>7</v>
      </c>
      <c r="B14" s="6" t="s">
        <v>23</v>
      </c>
      <c r="C14" s="6" t="s">
        <v>24</v>
      </c>
      <c r="D14" s="5" t="n">
        <v>12</v>
      </c>
      <c r="E14" s="5" t="s">
        <v>10</v>
      </c>
    </row>
    <row r="15" customFormat="false" ht="15" hidden="false" customHeight="false" outlineLevel="0" collapsed="false">
      <c r="A15" s="5" t="n">
        <v>8</v>
      </c>
      <c r="B15" s="6" t="s">
        <v>25</v>
      </c>
      <c r="C15" s="6" t="s">
        <v>26</v>
      </c>
      <c r="D15" s="5" t="n">
        <v>6</v>
      </c>
      <c r="E15" s="5" t="s">
        <v>10</v>
      </c>
    </row>
    <row r="16" customFormat="false" ht="30" hidden="false" customHeight="true" outlineLevel="0" collapsed="false">
      <c r="A16" s="5" t="n">
        <v>9</v>
      </c>
      <c r="B16" s="6" t="s">
        <v>27</v>
      </c>
      <c r="C16" s="6" t="s">
        <v>28</v>
      </c>
      <c r="D16" s="5" t="n">
        <v>12</v>
      </c>
      <c r="E16" s="5" t="s">
        <v>10</v>
      </c>
    </row>
    <row r="17" customFormat="false" ht="30" hidden="false" customHeight="true" outlineLevel="0" collapsed="false">
      <c r="A17" s="5" t="n">
        <v>10</v>
      </c>
      <c r="B17" s="6" t="s">
        <v>29</v>
      </c>
      <c r="C17" s="6" t="s">
        <v>30</v>
      </c>
      <c r="D17" s="5" t="n">
        <v>10</v>
      </c>
      <c r="E17" s="5" t="s">
        <v>10</v>
      </c>
    </row>
    <row r="18" customFormat="false" ht="15" hidden="false" customHeight="false" outlineLevel="0" collapsed="false">
      <c r="A18" s="7" t="s">
        <v>19</v>
      </c>
      <c r="B18" s="7"/>
      <c r="C18" s="7"/>
      <c r="D18" s="8" t="n">
        <f aca="false">SUM(D13:D17)</f>
        <v>56</v>
      </c>
      <c r="E18" s="9"/>
    </row>
    <row r="19" customFormat="false" ht="21.75" hidden="false" customHeight="true" outlineLevel="0" collapsed="false">
      <c r="A19" s="4" t="s">
        <v>31</v>
      </c>
      <c r="B19" s="4"/>
      <c r="C19" s="4"/>
      <c r="D19" s="4"/>
      <c r="E19" s="4"/>
    </row>
    <row r="20" customFormat="false" ht="30" hidden="false" customHeight="true" outlineLevel="0" collapsed="false">
      <c r="A20" s="5" t="n">
        <v>11</v>
      </c>
      <c r="B20" s="6" t="s">
        <v>32</v>
      </c>
      <c r="C20" s="6" t="s">
        <v>33</v>
      </c>
      <c r="D20" s="5" t="n">
        <v>10</v>
      </c>
      <c r="E20" s="5" t="s">
        <v>10</v>
      </c>
    </row>
    <row r="21" customFormat="false" ht="15" hidden="false" customHeight="false" outlineLevel="0" collapsed="false">
      <c r="A21" s="5" t="n">
        <v>12</v>
      </c>
      <c r="B21" s="6" t="s">
        <v>34</v>
      </c>
      <c r="C21" s="6" t="s">
        <v>35</v>
      </c>
      <c r="D21" s="5" t="n">
        <v>10</v>
      </c>
      <c r="E21" s="5" t="s">
        <v>10</v>
      </c>
    </row>
    <row r="22" customFormat="false" ht="15" hidden="false" customHeight="false" outlineLevel="0" collapsed="false">
      <c r="A22" s="5" t="n">
        <v>13</v>
      </c>
      <c r="B22" s="6" t="s">
        <v>36</v>
      </c>
      <c r="C22" s="6" t="s">
        <v>37</v>
      </c>
      <c r="D22" s="5" t="n">
        <v>8</v>
      </c>
      <c r="E22" s="5" t="s">
        <v>38</v>
      </c>
    </row>
    <row r="23" customFormat="false" ht="30" hidden="false" customHeight="true" outlineLevel="0" collapsed="false">
      <c r="A23" s="5" t="n">
        <v>14</v>
      </c>
      <c r="B23" s="6" t="s">
        <v>39</v>
      </c>
      <c r="C23" s="6" t="s">
        <v>40</v>
      </c>
      <c r="D23" s="5" t="n">
        <v>8</v>
      </c>
      <c r="E23" s="5" t="s">
        <v>10</v>
      </c>
    </row>
    <row r="24" customFormat="false" ht="30" hidden="false" customHeight="true" outlineLevel="0" collapsed="false">
      <c r="A24" s="5" t="n">
        <v>15</v>
      </c>
      <c r="B24" s="6" t="s">
        <v>41</v>
      </c>
      <c r="C24" s="6" t="s">
        <v>42</v>
      </c>
      <c r="D24" s="5" t="n">
        <v>8</v>
      </c>
      <c r="E24" s="5" t="s">
        <v>38</v>
      </c>
    </row>
    <row r="25" customFormat="false" ht="15" hidden="false" customHeight="false" outlineLevel="0" collapsed="false">
      <c r="A25" s="7" t="s">
        <v>19</v>
      </c>
      <c r="B25" s="7"/>
      <c r="C25" s="7"/>
      <c r="D25" s="8" t="n">
        <f aca="false">SUM(D20:D24)</f>
        <v>44</v>
      </c>
      <c r="E25" s="9"/>
    </row>
    <row r="26" customFormat="false" ht="21.75" hidden="false" customHeight="true" outlineLevel="0" collapsed="false">
      <c r="A26" s="4" t="s">
        <v>43</v>
      </c>
      <c r="B26" s="4"/>
      <c r="C26" s="4"/>
      <c r="D26" s="4"/>
      <c r="E26" s="4"/>
    </row>
    <row r="27" customFormat="false" ht="30" hidden="false" customHeight="true" outlineLevel="0" collapsed="false">
      <c r="A27" s="5" t="n">
        <v>16</v>
      </c>
      <c r="B27" s="6" t="s">
        <v>44</v>
      </c>
      <c r="C27" s="6" t="s">
        <v>45</v>
      </c>
      <c r="D27" s="5" t="n">
        <v>12</v>
      </c>
      <c r="E27" s="5" t="s">
        <v>10</v>
      </c>
    </row>
    <row r="28" customFormat="false" ht="15" hidden="false" customHeight="false" outlineLevel="0" collapsed="false">
      <c r="A28" s="5" t="n">
        <v>17</v>
      </c>
      <c r="B28" s="6" t="s">
        <v>46</v>
      </c>
      <c r="C28" s="6" t="s">
        <v>47</v>
      </c>
      <c r="D28" s="5" t="n">
        <v>8</v>
      </c>
      <c r="E28" s="5" t="s">
        <v>10</v>
      </c>
    </row>
    <row r="29" customFormat="false" ht="15" hidden="false" customHeight="false" outlineLevel="0" collapsed="false">
      <c r="A29" s="5" t="n">
        <v>18</v>
      </c>
      <c r="B29" s="6" t="s">
        <v>48</v>
      </c>
      <c r="C29" s="6" t="s">
        <v>49</v>
      </c>
      <c r="D29" s="5" t="n">
        <v>8</v>
      </c>
      <c r="E29" s="5" t="s">
        <v>38</v>
      </c>
    </row>
    <row r="30" customFormat="false" ht="15" hidden="false" customHeight="false" outlineLevel="0" collapsed="false">
      <c r="A30" s="5" t="n">
        <v>19</v>
      </c>
      <c r="B30" s="6" t="s">
        <v>50</v>
      </c>
      <c r="C30" s="6" t="s">
        <v>51</v>
      </c>
      <c r="D30" s="5" t="n">
        <v>10</v>
      </c>
      <c r="E30" s="5" t="s">
        <v>10</v>
      </c>
    </row>
    <row r="31" customFormat="false" ht="15" hidden="false" customHeight="false" outlineLevel="0" collapsed="false">
      <c r="A31" s="7" t="s">
        <v>19</v>
      </c>
      <c r="B31" s="7"/>
      <c r="C31" s="7"/>
      <c r="D31" s="8" t="n">
        <f aca="false">SUM(D27:D30)</f>
        <v>38</v>
      </c>
      <c r="E31" s="9"/>
    </row>
    <row r="32" customFormat="false" ht="21.75" hidden="false" customHeight="true" outlineLevel="0" collapsed="false">
      <c r="A32" s="4" t="s">
        <v>52</v>
      </c>
      <c r="B32" s="4"/>
      <c r="C32" s="4"/>
      <c r="D32" s="4"/>
      <c r="E32" s="4"/>
    </row>
    <row r="33" customFormat="false" ht="15" hidden="false" customHeight="false" outlineLevel="0" collapsed="false">
      <c r="A33" s="5" t="n">
        <v>20</v>
      </c>
      <c r="B33" s="6" t="s">
        <v>53</v>
      </c>
      <c r="C33" s="6" t="s">
        <v>54</v>
      </c>
      <c r="D33" s="5" t="n">
        <v>16</v>
      </c>
      <c r="E33" s="5" t="s">
        <v>10</v>
      </c>
    </row>
    <row r="34" customFormat="false" ht="15" hidden="false" customHeight="false" outlineLevel="0" collapsed="false">
      <c r="A34" s="5" t="n">
        <v>21</v>
      </c>
      <c r="B34" s="6" t="s">
        <v>55</v>
      </c>
      <c r="C34" s="6" t="s">
        <v>56</v>
      </c>
      <c r="D34" s="5" t="n">
        <v>12</v>
      </c>
      <c r="E34" s="5" t="s">
        <v>10</v>
      </c>
    </row>
    <row r="35" customFormat="false" ht="30" hidden="false" customHeight="true" outlineLevel="0" collapsed="false">
      <c r="A35" s="5" t="n">
        <v>22</v>
      </c>
      <c r="B35" s="6" t="s">
        <v>57</v>
      </c>
      <c r="C35" s="6" t="s">
        <v>58</v>
      </c>
      <c r="D35" s="5" t="n">
        <v>16</v>
      </c>
      <c r="E35" s="5" t="s">
        <v>10</v>
      </c>
    </row>
    <row r="36" customFormat="false" ht="30" hidden="false" customHeight="true" outlineLevel="0" collapsed="false">
      <c r="A36" s="5" t="n">
        <v>23</v>
      </c>
      <c r="B36" s="6" t="s">
        <v>59</v>
      </c>
      <c r="C36" s="6" t="s">
        <v>60</v>
      </c>
      <c r="D36" s="5" t="n">
        <v>10</v>
      </c>
      <c r="E36" s="5" t="s">
        <v>10</v>
      </c>
    </row>
    <row r="37" customFormat="false" ht="15" hidden="false" customHeight="false" outlineLevel="0" collapsed="false">
      <c r="A37" s="5" t="n">
        <v>24</v>
      </c>
      <c r="B37" s="6" t="s">
        <v>61</v>
      </c>
      <c r="C37" s="6" t="s">
        <v>62</v>
      </c>
      <c r="D37" s="5" t="n">
        <v>6</v>
      </c>
      <c r="E37" s="5" t="s">
        <v>10</v>
      </c>
    </row>
    <row r="38" customFormat="false" ht="30" hidden="false" customHeight="true" outlineLevel="0" collapsed="false">
      <c r="A38" s="5" t="n">
        <v>25</v>
      </c>
      <c r="B38" s="6" t="s">
        <v>63</v>
      </c>
      <c r="C38" s="6" t="s">
        <v>64</v>
      </c>
      <c r="D38" s="5" t="n">
        <v>10</v>
      </c>
      <c r="E38" s="5" t="s">
        <v>10</v>
      </c>
    </row>
    <row r="39" customFormat="false" ht="15" hidden="false" customHeight="false" outlineLevel="0" collapsed="false">
      <c r="A39" s="7" t="s">
        <v>19</v>
      </c>
      <c r="B39" s="7"/>
      <c r="C39" s="7"/>
      <c r="D39" s="8" t="n">
        <f aca="false">SUM(D33:D38)</f>
        <v>70</v>
      </c>
      <c r="E39" s="9"/>
    </row>
    <row r="40" customFormat="false" ht="21.75" hidden="false" customHeight="true" outlineLevel="0" collapsed="false">
      <c r="A40" s="4" t="s">
        <v>65</v>
      </c>
      <c r="B40" s="4"/>
      <c r="C40" s="4"/>
      <c r="D40" s="4"/>
      <c r="E40" s="4"/>
    </row>
    <row r="41" customFormat="false" ht="15" hidden="false" customHeight="false" outlineLevel="0" collapsed="false">
      <c r="A41" s="5" t="n">
        <v>26</v>
      </c>
      <c r="B41" s="6" t="s">
        <v>66</v>
      </c>
      <c r="C41" s="6" t="s">
        <v>67</v>
      </c>
      <c r="D41" s="5" t="n">
        <v>16</v>
      </c>
      <c r="E41" s="5" t="s">
        <v>10</v>
      </c>
    </row>
    <row r="42" customFormat="false" ht="15" hidden="false" customHeight="false" outlineLevel="0" collapsed="false">
      <c r="A42" s="5" t="n">
        <v>27</v>
      </c>
      <c r="B42" s="6" t="s">
        <v>68</v>
      </c>
      <c r="C42" s="6" t="s">
        <v>69</v>
      </c>
      <c r="D42" s="5" t="n">
        <v>10</v>
      </c>
      <c r="E42" s="5" t="s">
        <v>10</v>
      </c>
    </row>
    <row r="43" customFormat="false" ht="15" hidden="false" customHeight="false" outlineLevel="0" collapsed="false">
      <c r="A43" s="5" t="n">
        <v>28</v>
      </c>
      <c r="B43" s="6" t="s">
        <v>70</v>
      </c>
      <c r="C43" s="6" t="s">
        <v>71</v>
      </c>
      <c r="D43" s="5" t="n">
        <v>20</v>
      </c>
      <c r="E43" s="5" t="s">
        <v>10</v>
      </c>
    </row>
    <row r="44" customFormat="false" ht="30" hidden="false" customHeight="true" outlineLevel="0" collapsed="false">
      <c r="A44" s="5" t="n">
        <v>29</v>
      </c>
      <c r="B44" s="6" t="s">
        <v>72</v>
      </c>
      <c r="C44" s="6" t="s">
        <v>73</v>
      </c>
      <c r="D44" s="5" t="n">
        <v>8</v>
      </c>
      <c r="E44" s="5" t="s">
        <v>10</v>
      </c>
    </row>
    <row r="45" customFormat="false" ht="15" hidden="false" customHeight="false" outlineLevel="0" collapsed="false">
      <c r="A45" s="5" t="n">
        <v>30</v>
      </c>
      <c r="B45" s="6" t="s">
        <v>74</v>
      </c>
      <c r="C45" s="6" t="s">
        <v>75</v>
      </c>
      <c r="D45" s="5" t="n">
        <v>6</v>
      </c>
      <c r="E45" s="5" t="s">
        <v>38</v>
      </c>
    </row>
    <row r="46" customFormat="false" ht="15" hidden="false" customHeight="false" outlineLevel="0" collapsed="false">
      <c r="A46" s="5" t="n">
        <v>31</v>
      </c>
      <c r="B46" s="6" t="s">
        <v>76</v>
      </c>
      <c r="C46" s="6" t="s">
        <v>77</v>
      </c>
      <c r="D46" s="5" t="n">
        <v>8</v>
      </c>
      <c r="E46" s="5" t="s">
        <v>38</v>
      </c>
    </row>
    <row r="47" customFormat="false" ht="15" hidden="false" customHeight="false" outlineLevel="0" collapsed="false">
      <c r="A47" s="7" t="s">
        <v>19</v>
      </c>
      <c r="B47" s="7"/>
      <c r="C47" s="7"/>
      <c r="D47" s="8" t="n">
        <f aca="false">SUM(D41:D46)</f>
        <v>68</v>
      </c>
      <c r="E47" s="9"/>
    </row>
    <row r="48" customFormat="false" ht="21.75" hidden="false" customHeight="true" outlineLevel="0" collapsed="false">
      <c r="A48" s="4" t="s">
        <v>78</v>
      </c>
      <c r="B48" s="4"/>
      <c r="C48" s="4"/>
      <c r="D48" s="4"/>
      <c r="E48" s="4"/>
    </row>
    <row r="49" customFormat="false" ht="15" hidden="false" customHeight="false" outlineLevel="0" collapsed="false">
      <c r="A49" s="5" t="n">
        <v>32</v>
      </c>
      <c r="B49" s="6" t="s">
        <v>79</v>
      </c>
      <c r="C49" s="6" t="s">
        <v>80</v>
      </c>
      <c r="D49" s="5" t="n">
        <v>10</v>
      </c>
      <c r="E49" s="5" t="s">
        <v>10</v>
      </c>
    </row>
    <row r="50" customFormat="false" ht="15" hidden="false" customHeight="false" outlineLevel="0" collapsed="false">
      <c r="A50" s="5" t="n">
        <v>33</v>
      </c>
      <c r="B50" s="6" t="s">
        <v>81</v>
      </c>
      <c r="C50" s="6" t="s">
        <v>82</v>
      </c>
      <c r="D50" s="5" t="n">
        <v>14</v>
      </c>
      <c r="E50" s="5" t="s">
        <v>10</v>
      </c>
    </row>
    <row r="51" customFormat="false" ht="30" hidden="false" customHeight="true" outlineLevel="0" collapsed="false">
      <c r="A51" s="5" t="n">
        <v>34</v>
      </c>
      <c r="B51" s="6" t="s">
        <v>83</v>
      </c>
      <c r="C51" s="6" t="s">
        <v>84</v>
      </c>
      <c r="D51" s="5" t="n">
        <v>14</v>
      </c>
      <c r="E51" s="5" t="s">
        <v>10</v>
      </c>
    </row>
    <row r="52" customFormat="false" ht="15" hidden="false" customHeight="false" outlineLevel="0" collapsed="false">
      <c r="A52" s="5" t="n">
        <v>35</v>
      </c>
      <c r="B52" s="6" t="s">
        <v>85</v>
      </c>
      <c r="C52" s="6" t="s">
        <v>86</v>
      </c>
      <c r="D52" s="5" t="n">
        <v>10</v>
      </c>
      <c r="E52" s="5" t="s">
        <v>10</v>
      </c>
    </row>
    <row r="53" customFormat="false" ht="15" hidden="false" customHeight="false" outlineLevel="0" collapsed="false">
      <c r="A53" s="5" t="n">
        <v>36</v>
      </c>
      <c r="B53" s="6" t="s">
        <v>87</v>
      </c>
      <c r="C53" s="6" t="s">
        <v>88</v>
      </c>
      <c r="D53" s="5" t="n">
        <v>8</v>
      </c>
      <c r="E53" s="5" t="s">
        <v>38</v>
      </c>
    </row>
    <row r="54" customFormat="false" ht="15" hidden="false" customHeight="false" outlineLevel="0" collapsed="false">
      <c r="A54" s="7" t="s">
        <v>19</v>
      </c>
      <c r="B54" s="7"/>
      <c r="C54" s="7"/>
      <c r="D54" s="8" t="n">
        <f aca="false">SUM(D49:D53)</f>
        <v>56</v>
      </c>
      <c r="E54" s="9"/>
    </row>
    <row r="55" customFormat="false" ht="21.75" hidden="false" customHeight="true" outlineLevel="0" collapsed="false">
      <c r="A55" s="4" t="s">
        <v>89</v>
      </c>
      <c r="B55" s="4"/>
      <c r="C55" s="4"/>
      <c r="D55" s="4"/>
      <c r="E55" s="4"/>
    </row>
    <row r="56" customFormat="false" ht="15" hidden="false" customHeight="false" outlineLevel="0" collapsed="false">
      <c r="A56" s="5" t="n">
        <v>37</v>
      </c>
      <c r="B56" s="6" t="s">
        <v>90</v>
      </c>
      <c r="C56" s="6" t="s">
        <v>91</v>
      </c>
      <c r="D56" s="5" t="n">
        <v>8</v>
      </c>
      <c r="E56" s="5" t="s">
        <v>10</v>
      </c>
    </row>
    <row r="57" customFormat="false" ht="30" hidden="false" customHeight="true" outlineLevel="0" collapsed="false">
      <c r="A57" s="5" t="n">
        <v>38</v>
      </c>
      <c r="B57" s="6" t="s">
        <v>92</v>
      </c>
      <c r="C57" s="6" t="s">
        <v>93</v>
      </c>
      <c r="D57" s="5" t="n">
        <v>14</v>
      </c>
      <c r="E57" s="5" t="s">
        <v>10</v>
      </c>
    </row>
    <row r="58" customFormat="false" ht="30" hidden="false" customHeight="true" outlineLevel="0" collapsed="false">
      <c r="A58" s="5" t="n">
        <v>39</v>
      </c>
      <c r="B58" s="6" t="s">
        <v>94</v>
      </c>
      <c r="C58" s="6" t="s">
        <v>95</v>
      </c>
      <c r="D58" s="5" t="n">
        <v>10</v>
      </c>
      <c r="E58" s="5" t="s">
        <v>10</v>
      </c>
    </row>
    <row r="59" customFormat="false" ht="15" hidden="false" customHeight="false" outlineLevel="0" collapsed="false">
      <c r="A59" s="5" t="n">
        <v>40</v>
      </c>
      <c r="B59" s="6" t="s">
        <v>96</v>
      </c>
      <c r="C59" s="6" t="s">
        <v>97</v>
      </c>
      <c r="D59" s="5" t="n">
        <v>14</v>
      </c>
      <c r="E59" s="5" t="s">
        <v>10</v>
      </c>
    </row>
    <row r="60" customFormat="false" ht="15" hidden="false" customHeight="false" outlineLevel="0" collapsed="false">
      <c r="A60" s="5" t="n">
        <v>41</v>
      </c>
      <c r="B60" s="6" t="s">
        <v>98</v>
      </c>
      <c r="C60" s="6" t="s">
        <v>99</v>
      </c>
      <c r="D60" s="5" t="n">
        <v>12</v>
      </c>
      <c r="E60" s="5" t="s">
        <v>10</v>
      </c>
    </row>
    <row r="61" customFormat="false" ht="15" hidden="false" customHeight="false" outlineLevel="0" collapsed="false">
      <c r="A61" s="5" t="n">
        <v>42</v>
      </c>
      <c r="B61" s="6" t="s">
        <v>100</v>
      </c>
      <c r="C61" s="6" t="s">
        <v>101</v>
      </c>
      <c r="D61" s="5" t="n">
        <v>8</v>
      </c>
      <c r="E61" s="5" t="s">
        <v>38</v>
      </c>
    </row>
    <row r="62" customFormat="false" ht="15" hidden="false" customHeight="false" outlineLevel="0" collapsed="false">
      <c r="A62" s="7" t="s">
        <v>19</v>
      </c>
      <c r="B62" s="7"/>
      <c r="C62" s="7"/>
      <c r="D62" s="8" t="n">
        <f aca="false">SUM(D56:D61)</f>
        <v>66</v>
      </c>
      <c r="E62" s="9"/>
    </row>
    <row r="63" customFormat="false" ht="21.75" hidden="false" customHeight="true" outlineLevel="0" collapsed="false">
      <c r="A63" s="4" t="s">
        <v>102</v>
      </c>
      <c r="B63" s="4"/>
      <c r="C63" s="4"/>
      <c r="D63" s="4"/>
      <c r="E63" s="4"/>
    </row>
    <row r="64" customFormat="false" ht="15" hidden="false" customHeight="false" outlineLevel="0" collapsed="false">
      <c r="A64" s="5" t="n">
        <v>43</v>
      </c>
      <c r="B64" s="6" t="s">
        <v>103</v>
      </c>
      <c r="C64" s="6" t="s">
        <v>104</v>
      </c>
      <c r="D64" s="5" t="n">
        <v>10</v>
      </c>
      <c r="E64" s="5" t="s">
        <v>10</v>
      </c>
    </row>
    <row r="65" customFormat="false" ht="15" hidden="false" customHeight="false" outlineLevel="0" collapsed="false">
      <c r="A65" s="5" t="n">
        <v>44</v>
      </c>
      <c r="B65" s="6" t="s">
        <v>105</v>
      </c>
      <c r="C65" s="6" t="s">
        <v>106</v>
      </c>
      <c r="D65" s="5" t="n">
        <v>10</v>
      </c>
      <c r="E65" s="5" t="s">
        <v>10</v>
      </c>
    </row>
    <row r="66" customFormat="false" ht="15" hidden="false" customHeight="false" outlineLevel="0" collapsed="false">
      <c r="A66" s="5" t="n">
        <v>45</v>
      </c>
      <c r="B66" s="6" t="s">
        <v>107</v>
      </c>
      <c r="C66" s="6" t="s">
        <v>108</v>
      </c>
      <c r="D66" s="5" t="n">
        <v>6</v>
      </c>
      <c r="E66" s="5" t="s">
        <v>38</v>
      </c>
    </row>
    <row r="67" customFormat="false" ht="30" hidden="false" customHeight="true" outlineLevel="0" collapsed="false">
      <c r="A67" s="5" t="n">
        <v>46</v>
      </c>
      <c r="B67" s="6" t="s">
        <v>109</v>
      </c>
      <c r="C67" s="6" t="s">
        <v>110</v>
      </c>
      <c r="D67" s="5" t="n">
        <v>10</v>
      </c>
      <c r="E67" s="5" t="s">
        <v>38</v>
      </c>
    </row>
    <row r="68" customFormat="false" ht="15" hidden="false" customHeight="false" outlineLevel="0" collapsed="false">
      <c r="A68" s="7" t="s">
        <v>19</v>
      </c>
      <c r="B68" s="7"/>
      <c r="C68" s="7"/>
      <c r="D68" s="8" t="n">
        <f aca="false">SUM(D64:D67)</f>
        <v>36</v>
      </c>
      <c r="E68" s="9"/>
    </row>
    <row r="69" customFormat="false" ht="21.75" hidden="false" customHeight="true" outlineLevel="0" collapsed="false">
      <c r="A69" s="4" t="s">
        <v>111</v>
      </c>
      <c r="B69" s="4"/>
      <c r="C69" s="4"/>
      <c r="D69" s="4"/>
      <c r="E69" s="4"/>
    </row>
    <row r="70" customFormat="false" ht="15" hidden="false" customHeight="false" outlineLevel="0" collapsed="false">
      <c r="A70" s="5" t="n">
        <v>47</v>
      </c>
      <c r="B70" s="6" t="s">
        <v>112</v>
      </c>
      <c r="C70" s="6" t="s">
        <v>113</v>
      </c>
      <c r="D70" s="5" t="n">
        <v>12</v>
      </c>
      <c r="E70" s="5" t="s">
        <v>10</v>
      </c>
    </row>
    <row r="71" customFormat="false" ht="15" hidden="false" customHeight="false" outlineLevel="0" collapsed="false">
      <c r="A71" s="5" t="n">
        <v>48</v>
      </c>
      <c r="B71" s="6" t="s">
        <v>114</v>
      </c>
      <c r="C71" s="6" t="s">
        <v>115</v>
      </c>
      <c r="D71" s="5" t="n">
        <v>10</v>
      </c>
      <c r="E71" s="5" t="s">
        <v>10</v>
      </c>
    </row>
    <row r="72" customFormat="false" ht="15" hidden="false" customHeight="false" outlineLevel="0" collapsed="false">
      <c r="A72" s="5" t="n">
        <v>49</v>
      </c>
      <c r="B72" s="6" t="s">
        <v>116</v>
      </c>
      <c r="C72" s="6" t="s">
        <v>117</v>
      </c>
      <c r="D72" s="5" t="n">
        <v>10</v>
      </c>
      <c r="E72" s="5" t="s">
        <v>10</v>
      </c>
    </row>
    <row r="73" customFormat="false" ht="15" hidden="false" customHeight="false" outlineLevel="0" collapsed="false">
      <c r="A73" s="5" t="n">
        <v>50</v>
      </c>
      <c r="B73" s="6" t="s">
        <v>118</v>
      </c>
      <c r="C73" s="6" t="s">
        <v>119</v>
      </c>
      <c r="D73" s="5" t="n">
        <v>10</v>
      </c>
      <c r="E73" s="5" t="s">
        <v>10</v>
      </c>
    </row>
    <row r="74" customFormat="false" ht="15" hidden="false" customHeight="false" outlineLevel="0" collapsed="false">
      <c r="A74" s="5" t="n">
        <v>51</v>
      </c>
      <c r="B74" s="6" t="s">
        <v>120</v>
      </c>
      <c r="C74" s="6" t="s">
        <v>121</v>
      </c>
      <c r="D74" s="5" t="n">
        <v>8</v>
      </c>
      <c r="E74" s="5" t="s">
        <v>10</v>
      </c>
    </row>
    <row r="75" customFormat="false" ht="15" hidden="false" customHeight="false" outlineLevel="0" collapsed="false">
      <c r="A75" s="7" t="s">
        <v>19</v>
      </c>
      <c r="B75" s="7"/>
      <c r="C75" s="7"/>
      <c r="D75" s="8" t="n">
        <f aca="false">SUM(D70:D74)</f>
        <v>50</v>
      </c>
      <c r="E75" s="9"/>
    </row>
    <row r="76" customFormat="false" ht="21.75" hidden="false" customHeight="true" outlineLevel="0" collapsed="false">
      <c r="A76" s="4" t="s">
        <v>122</v>
      </c>
      <c r="B76" s="4"/>
      <c r="C76" s="4"/>
      <c r="D76" s="4"/>
      <c r="E76" s="4"/>
    </row>
    <row r="77" customFormat="false" ht="15" hidden="false" customHeight="false" outlineLevel="0" collapsed="false">
      <c r="A77" s="5" t="n">
        <v>52</v>
      </c>
      <c r="B77" s="6" t="s">
        <v>123</v>
      </c>
      <c r="C77" s="6" t="s">
        <v>124</v>
      </c>
      <c r="D77" s="5" t="n">
        <v>10</v>
      </c>
      <c r="E77" s="5" t="s">
        <v>10</v>
      </c>
    </row>
    <row r="78" customFormat="false" ht="15" hidden="false" customHeight="false" outlineLevel="0" collapsed="false">
      <c r="A78" s="5" t="n">
        <v>53</v>
      </c>
      <c r="B78" s="6" t="s">
        <v>125</v>
      </c>
      <c r="C78" s="6" t="s">
        <v>126</v>
      </c>
      <c r="D78" s="5" t="n">
        <v>8</v>
      </c>
      <c r="E78" s="5" t="s">
        <v>10</v>
      </c>
    </row>
    <row r="79" customFormat="false" ht="15" hidden="false" customHeight="false" outlineLevel="0" collapsed="false">
      <c r="A79" s="5" t="n">
        <v>54</v>
      </c>
      <c r="B79" s="6" t="s">
        <v>127</v>
      </c>
      <c r="C79" s="6" t="s">
        <v>128</v>
      </c>
      <c r="D79" s="5" t="n">
        <v>10</v>
      </c>
      <c r="E79" s="5" t="s">
        <v>38</v>
      </c>
    </row>
    <row r="80" customFormat="false" ht="15" hidden="false" customHeight="false" outlineLevel="0" collapsed="false">
      <c r="A80" s="5" t="n">
        <v>55</v>
      </c>
      <c r="B80" s="6" t="s">
        <v>129</v>
      </c>
      <c r="C80" s="6" t="s">
        <v>130</v>
      </c>
      <c r="D80" s="5" t="n">
        <v>8</v>
      </c>
      <c r="E80" s="5" t="s">
        <v>38</v>
      </c>
    </row>
    <row r="81" customFormat="false" ht="15" hidden="false" customHeight="false" outlineLevel="0" collapsed="false">
      <c r="A81" s="7" t="s">
        <v>19</v>
      </c>
      <c r="B81" s="7"/>
      <c r="C81" s="7"/>
      <c r="D81" s="8" t="n">
        <f aca="false">SUM(D77:D80)</f>
        <v>36</v>
      </c>
      <c r="E81" s="9"/>
    </row>
    <row r="82" customFormat="false" ht="21.75" hidden="false" customHeight="true" outlineLevel="0" collapsed="false">
      <c r="A82" s="4" t="s">
        <v>131</v>
      </c>
      <c r="B82" s="4"/>
      <c r="C82" s="4"/>
      <c r="D82" s="4"/>
      <c r="E82" s="4"/>
    </row>
    <row r="83" customFormat="false" ht="15" hidden="false" customHeight="false" outlineLevel="0" collapsed="false">
      <c r="A83" s="5" t="n">
        <v>56</v>
      </c>
      <c r="B83" s="6" t="s">
        <v>132</v>
      </c>
      <c r="C83" s="6" t="s">
        <v>133</v>
      </c>
      <c r="D83" s="5" t="n">
        <v>10</v>
      </c>
      <c r="E83" s="5" t="s">
        <v>10</v>
      </c>
    </row>
    <row r="84" customFormat="false" ht="15" hidden="false" customHeight="false" outlineLevel="0" collapsed="false">
      <c r="A84" s="5" t="n">
        <v>57</v>
      </c>
      <c r="B84" s="6" t="s">
        <v>134</v>
      </c>
      <c r="C84" s="6" t="s">
        <v>135</v>
      </c>
      <c r="D84" s="5" t="n">
        <v>6</v>
      </c>
      <c r="E84" s="5" t="s">
        <v>38</v>
      </c>
    </row>
    <row r="85" customFormat="false" ht="15" hidden="false" customHeight="false" outlineLevel="0" collapsed="false">
      <c r="A85" s="5" t="n">
        <v>58</v>
      </c>
      <c r="B85" s="6" t="s">
        <v>136</v>
      </c>
      <c r="C85" s="6" t="s">
        <v>137</v>
      </c>
      <c r="D85" s="5" t="n">
        <v>8</v>
      </c>
      <c r="E85" s="5" t="s">
        <v>38</v>
      </c>
    </row>
    <row r="86" customFormat="false" ht="15" hidden="false" customHeight="false" outlineLevel="0" collapsed="false">
      <c r="A86" s="7" t="s">
        <v>19</v>
      </c>
      <c r="B86" s="7"/>
      <c r="C86" s="7"/>
      <c r="D86" s="8" t="n">
        <f aca="false">SUM(D83:D85)</f>
        <v>24</v>
      </c>
      <c r="E86" s="9"/>
    </row>
    <row r="87" customFormat="false" ht="21.75" hidden="false" customHeight="true" outlineLevel="0" collapsed="false">
      <c r="A87" s="4" t="s">
        <v>138</v>
      </c>
      <c r="B87" s="4"/>
      <c r="C87" s="4"/>
      <c r="D87" s="4"/>
      <c r="E87" s="4"/>
    </row>
    <row r="88" customFormat="false" ht="15" hidden="false" customHeight="false" outlineLevel="0" collapsed="false">
      <c r="A88" s="5" t="n">
        <v>59</v>
      </c>
      <c r="B88" s="6" t="s">
        <v>139</v>
      </c>
      <c r="C88" s="6" t="s">
        <v>140</v>
      </c>
      <c r="D88" s="5" t="n">
        <v>4</v>
      </c>
      <c r="E88" s="5" t="s">
        <v>10</v>
      </c>
    </row>
    <row r="89" customFormat="false" ht="15" hidden="false" customHeight="false" outlineLevel="0" collapsed="false">
      <c r="A89" s="5" t="n">
        <v>60</v>
      </c>
      <c r="B89" s="6" t="s">
        <v>141</v>
      </c>
      <c r="C89" s="6" t="s">
        <v>142</v>
      </c>
      <c r="D89" s="5" t="n">
        <v>6</v>
      </c>
      <c r="E89" s="5" t="s">
        <v>10</v>
      </c>
    </row>
    <row r="90" customFormat="false" ht="15" hidden="false" customHeight="false" outlineLevel="0" collapsed="false">
      <c r="A90" s="5" t="n">
        <v>61</v>
      </c>
      <c r="B90" s="6" t="s">
        <v>143</v>
      </c>
      <c r="C90" s="6" t="s">
        <v>144</v>
      </c>
      <c r="D90" s="5" t="n">
        <v>10</v>
      </c>
      <c r="E90" s="5" t="s">
        <v>10</v>
      </c>
    </row>
    <row r="91" customFormat="false" ht="15" hidden="false" customHeight="false" outlineLevel="0" collapsed="false">
      <c r="A91" s="5" t="n">
        <v>62</v>
      </c>
      <c r="B91" s="6" t="s">
        <v>145</v>
      </c>
      <c r="C91" s="6" t="s">
        <v>146</v>
      </c>
      <c r="D91" s="5" t="n">
        <v>8</v>
      </c>
      <c r="E91" s="5" t="s">
        <v>38</v>
      </c>
    </row>
    <row r="92" customFormat="false" ht="15" hidden="false" customHeight="false" outlineLevel="0" collapsed="false">
      <c r="A92" s="5" t="n">
        <v>63</v>
      </c>
      <c r="B92" s="6" t="s">
        <v>147</v>
      </c>
      <c r="C92" s="6" t="s">
        <v>148</v>
      </c>
      <c r="D92" s="5" t="n">
        <v>6</v>
      </c>
      <c r="E92" s="5" t="s">
        <v>38</v>
      </c>
    </row>
    <row r="93" customFormat="false" ht="15" hidden="false" customHeight="false" outlineLevel="0" collapsed="false">
      <c r="A93" s="7" t="s">
        <v>19</v>
      </c>
      <c r="B93" s="7"/>
      <c r="C93" s="7"/>
      <c r="D93" s="8" t="n">
        <f aca="false">SUM(D88:D92)</f>
        <v>34</v>
      </c>
      <c r="E93" s="9"/>
    </row>
    <row r="94" customFormat="false" ht="21.75" hidden="false" customHeight="true" outlineLevel="0" collapsed="false">
      <c r="A94" s="4" t="s">
        <v>149</v>
      </c>
      <c r="B94" s="4"/>
      <c r="C94" s="4"/>
      <c r="D94" s="4"/>
      <c r="E94" s="4"/>
    </row>
    <row r="95" customFormat="false" ht="30" hidden="false" customHeight="true" outlineLevel="0" collapsed="false">
      <c r="A95" s="5" t="n">
        <v>64</v>
      </c>
      <c r="B95" s="6" t="s">
        <v>150</v>
      </c>
      <c r="C95" s="6" t="s">
        <v>151</v>
      </c>
      <c r="D95" s="5" t="n">
        <v>8</v>
      </c>
      <c r="E95" s="5" t="s">
        <v>10</v>
      </c>
    </row>
    <row r="96" customFormat="false" ht="15" hidden="false" customHeight="false" outlineLevel="0" collapsed="false">
      <c r="A96" s="5" t="n">
        <v>65</v>
      </c>
      <c r="B96" s="6" t="s">
        <v>152</v>
      </c>
      <c r="C96" s="6" t="s">
        <v>153</v>
      </c>
      <c r="D96" s="5" t="n">
        <v>12</v>
      </c>
      <c r="E96" s="5" t="s">
        <v>10</v>
      </c>
    </row>
    <row r="97" customFormat="false" ht="15" hidden="false" customHeight="false" outlineLevel="0" collapsed="false">
      <c r="A97" s="5" t="n">
        <v>66</v>
      </c>
      <c r="B97" s="6" t="s">
        <v>154</v>
      </c>
      <c r="C97" s="6" t="s">
        <v>155</v>
      </c>
      <c r="D97" s="5" t="n">
        <v>10</v>
      </c>
      <c r="E97" s="5" t="s">
        <v>10</v>
      </c>
    </row>
    <row r="98" customFormat="false" ht="15" hidden="false" customHeight="false" outlineLevel="0" collapsed="false">
      <c r="A98" s="7" t="s">
        <v>19</v>
      </c>
      <c r="B98" s="7"/>
      <c r="C98" s="7"/>
      <c r="D98" s="8" t="n">
        <f aca="false">SUM(D95:D97)</f>
        <v>30</v>
      </c>
      <c r="E98" s="9"/>
    </row>
    <row r="99" customFormat="false" ht="21.75" hidden="false" customHeight="true" outlineLevel="0" collapsed="false">
      <c r="A99" s="4" t="s">
        <v>156</v>
      </c>
      <c r="B99" s="4"/>
      <c r="C99" s="4"/>
      <c r="D99" s="4"/>
      <c r="E99" s="4"/>
    </row>
    <row r="100" customFormat="false" ht="15" hidden="false" customHeight="false" outlineLevel="0" collapsed="false">
      <c r="A100" s="5" t="n">
        <v>67</v>
      </c>
      <c r="B100" s="6" t="s">
        <v>157</v>
      </c>
      <c r="C100" s="6" t="s">
        <v>158</v>
      </c>
      <c r="D100" s="5" t="n">
        <v>14</v>
      </c>
      <c r="E100" s="5" t="s">
        <v>10</v>
      </c>
    </row>
    <row r="101" customFormat="false" ht="15" hidden="false" customHeight="false" outlineLevel="0" collapsed="false">
      <c r="A101" s="5" t="n">
        <v>68</v>
      </c>
      <c r="B101" s="6" t="s">
        <v>159</v>
      </c>
      <c r="C101" s="6" t="s">
        <v>160</v>
      </c>
      <c r="D101" s="5" t="n">
        <v>10</v>
      </c>
      <c r="E101" s="5" t="s">
        <v>38</v>
      </c>
    </row>
    <row r="102" customFormat="false" ht="15" hidden="false" customHeight="false" outlineLevel="0" collapsed="false">
      <c r="A102" s="5" t="n">
        <v>69</v>
      </c>
      <c r="B102" s="6" t="s">
        <v>161</v>
      </c>
      <c r="C102" s="6" t="s">
        <v>162</v>
      </c>
      <c r="D102" s="5" t="n">
        <v>10</v>
      </c>
      <c r="E102" s="5" t="s">
        <v>10</v>
      </c>
    </row>
    <row r="103" customFormat="false" ht="30" hidden="false" customHeight="true" outlineLevel="0" collapsed="false">
      <c r="A103" s="5" t="n">
        <v>70</v>
      </c>
      <c r="B103" s="6" t="s">
        <v>163</v>
      </c>
      <c r="C103" s="6" t="s">
        <v>164</v>
      </c>
      <c r="D103" s="5" t="n">
        <v>12</v>
      </c>
      <c r="E103" s="5" t="s">
        <v>10</v>
      </c>
    </row>
    <row r="104" customFormat="false" ht="15" hidden="false" customHeight="false" outlineLevel="0" collapsed="false">
      <c r="A104" s="5" t="n">
        <v>71</v>
      </c>
      <c r="B104" s="6" t="s">
        <v>165</v>
      </c>
      <c r="C104" s="6" t="s">
        <v>166</v>
      </c>
      <c r="D104" s="5" t="n">
        <v>10</v>
      </c>
      <c r="E104" s="5" t="s">
        <v>10</v>
      </c>
    </row>
    <row r="105" customFormat="false" ht="15" hidden="false" customHeight="false" outlineLevel="0" collapsed="false">
      <c r="A105" s="5" t="n">
        <v>72</v>
      </c>
      <c r="B105" s="6" t="s">
        <v>167</v>
      </c>
      <c r="C105" s="6" t="s">
        <v>168</v>
      </c>
      <c r="D105" s="5" t="n">
        <v>8</v>
      </c>
      <c r="E105" s="5" t="s">
        <v>38</v>
      </c>
    </row>
    <row r="106" customFormat="false" ht="15" hidden="false" customHeight="false" outlineLevel="0" collapsed="false">
      <c r="A106" s="5" t="n">
        <v>73</v>
      </c>
      <c r="B106" s="6" t="s">
        <v>169</v>
      </c>
      <c r="C106" s="6" t="s">
        <v>170</v>
      </c>
      <c r="D106" s="5" t="n">
        <v>16</v>
      </c>
      <c r="E106" s="5" t="s">
        <v>10</v>
      </c>
    </row>
    <row r="107" customFormat="false" ht="15" hidden="false" customHeight="false" outlineLevel="0" collapsed="false">
      <c r="A107" s="7" t="s">
        <v>19</v>
      </c>
      <c r="B107" s="7"/>
      <c r="C107" s="7"/>
      <c r="D107" s="8" t="n">
        <f aca="false">SUM(D100:D106)</f>
        <v>80</v>
      </c>
      <c r="E107" s="9"/>
    </row>
    <row r="108" customFormat="false" ht="21.75" hidden="false" customHeight="true" outlineLevel="0" collapsed="false">
      <c r="A108" s="4" t="s">
        <v>171</v>
      </c>
      <c r="B108" s="4"/>
      <c r="C108" s="4"/>
      <c r="D108" s="4"/>
      <c r="E108" s="4"/>
    </row>
    <row r="109" customFormat="false" ht="15" hidden="false" customHeight="false" outlineLevel="0" collapsed="false">
      <c r="A109" s="5" t="n">
        <v>74</v>
      </c>
      <c r="B109" s="6" t="s">
        <v>172</v>
      </c>
      <c r="C109" s="6" t="s">
        <v>173</v>
      </c>
      <c r="D109" s="5" t="n">
        <v>8</v>
      </c>
      <c r="E109" s="5" t="s">
        <v>10</v>
      </c>
    </row>
    <row r="110" customFormat="false" ht="15" hidden="false" customHeight="false" outlineLevel="0" collapsed="false">
      <c r="A110" s="5" t="n">
        <v>75</v>
      </c>
      <c r="B110" s="6" t="s">
        <v>174</v>
      </c>
      <c r="C110" s="6" t="s">
        <v>175</v>
      </c>
      <c r="D110" s="5" t="n">
        <v>4</v>
      </c>
      <c r="E110" s="5" t="s">
        <v>10</v>
      </c>
    </row>
    <row r="111" customFormat="false" ht="15" hidden="false" customHeight="false" outlineLevel="0" collapsed="false">
      <c r="A111" s="5" t="n">
        <v>76</v>
      </c>
      <c r="B111" s="6" t="s">
        <v>176</v>
      </c>
      <c r="C111" s="6" t="s">
        <v>177</v>
      </c>
      <c r="D111" s="5" t="n">
        <v>8</v>
      </c>
      <c r="E111" s="5" t="s">
        <v>38</v>
      </c>
    </row>
    <row r="112" customFormat="false" ht="15" hidden="false" customHeight="false" outlineLevel="0" collapsed="false">
      <c r="A112" s="5" t="n">
        <v>77</v>
      </c>
      <c r="B112" s="6" t="s">
        <v>178</v>
      </c>
      <c r="C112" s="6" t="s">
        <v>179</v>
      </c>
      <c r="D112" s="5" t="n">
        <v>6</v>
      </c>
      <c r="E112" s="5" t="s">
        <v>38</v>
      </c>
    </row>
    <row r="113" customFormat="false" ht="15" hidden="false" customHeight="false" outlineLevel="0" collapsed="false">
      <c r="A113" s="7" t="s">
        <v>19</v>
      </c>
      <c r="B113" s="7"/>
      <c r="C113" s="7"/>
      <c r="D113" s="8" t="n">
        <f aca="false">SUM(D109:D112)</f>
        <v>26</v>
      </c>
      <c r="E113" s="9"/>
    </row>
    <row r="114" customFormat="false" ht="21.75" hidden="false" customHeight="true" outlineLevel="0" collapsed="false">
      <c r="A114" s="4" t="s">
        <v>180</v>
      </c>
      <c r="B114" s="4"/>
      <c r="C114" s="4"/>
      <c r="D114" s="4"/>
      <c r="E114" s="4"/>
    </row>
    <row r="115" customFormat="false" ht="15" hidden="false" customHeight="false" outlineLevel="0" collapsed="false">
      <c r="A115" s="5" t="n">
        <v>78</v>
      </c>
      <c r="B115" s="6" t="s">
        <v>181</v>
      </c>
      <c r="C115" s="6" t="s">
        <v>182</v>
      </c>
      <c r="D115" s="5" t="n">
        <v>10</v>
      </c>
      <c r="E115" s="5" t="s">
        <v>10</v>
      </c>
    </row>
    <row r="116" customFormat="false" ht="15" hidden="false" customHeight="false" outlineLevel="0" collapsed="false">
      <c r="A116" s="5" t="n">
        <v>79</v>
      </c>
      <c r="B116" s="6" t="s">
        <v>183</v>
      </c>
      <c r="C116" s="6" t="s">
        <v>184</v>
      </c>
      <c r="D116" s="5" t="n">
        <v>8</v>
      </c>
      <c r="E116" s="5" t="s">
        <v>10</v>
      </c>
    </row>
    <row r="117" customFormat="false" ht="15" hidden="false" customHeight="false" outlineLevel="0" collapsed="false">
      <c r="A117" s="5" t="n">
        <v>80</v>
      </c>
      <c r="B117" s="6" t="s">
        <v>185</v>
      </c>
      <c r="C117" s="6" t="s">
        <v>186</v>
      </c>
      <c r="D117" s="5" t="n">
        <v>6</v>
      </c>
      <c r="E117" s="5" t="s">
        <v>38</v>
      </c>
    </row>
    <row r="118" customFormat="false" ht="15" hidden="false" customHeight="false" outlineLevel="0" collapsed="false">
      <c r="A118" s="5" t="n">
        <v>81</v>
      </c>
      <c r="B118" s="6" t="s">
        <v>187</v>
      </c>
      <c r="C118" s="6" t="s">
        <v>188</v>
      </c>
      <c r="D118" s="5" t="n">
        <v>8</v>
      </c>
      <c r="E118" s="5" t="s">
        <v>38</v>
      </c>
    </row>
    <row r="119" customFormat="false" ht="15" hidden="false" customHeight="false" outlineLevel="0" collapsed="false">
      <c r="A119" s="5" t="n">
        <v>82</v>
      </c>
      <c r="B119" s="6" t="s">
        <v>189</v>
      </c>
      <c r="C119" s="6" t="s">
        <v>190</v>
      </c>
      <c r="D119" s="5" t="n">
        <v>6</v>
      </c>
      <c r="E119" s="5" t="s">
        <v>10</v>
      </c>
    </row>
    <row r="120" customFormat="false" ht="15" hidden="false" customHeight="false" outlineLevel="0" collapsed="false">
      <c r="A120" s="7" t="s">
        <v>19</v>
      </c>
      <c r="B120" s="7"/>
      <c r="C120" s="7"/>
      <c r="D120" s="8" t="n">
        <f aca="false">SUM(D115:D119)</f>
        <v>38</v>
      </c>
      <c r="E120" s="9"/>
    </row>
    <row r="121" customFormat="false" ht="21.75" hidden="false" customHeight="true" outlineLevel="0" collapsed="false">
      <c r="A121" s="4" t="s">
        <v>191</v>
      </c>
      <c r="B121" s="4"/>
      <c r="C121" s="4"/>
      <c r="D121" s="4"/>
      <c r="E121" s="4"/>
    </row>
    <row r="122" customFormat="false" ht="15" hidden="false" customHeight="false" outlineLevel="0" collapsed="false">
      <c r="A122" s="5" t="n">
        <v>83</v>
      </c>
      <c r="B122" s="6" t="s">
        <v>192</v>
      </c>
      <c r="C122" s="6" t="s">
        <v>193</v>
      </c>
      <c r="D122" s="5" t="n">
        <v>18</v>
      </c>
      <c r="E122" s="5" t="s">
        <v>10</v>
      </c>
    </row>
    <row r="123" customFormat="false" ht="15" hidden="false" customHeight="false" outlineLevel="0" collapsed="false">
      <c r="A123" s="5" t="n">
        <v>84</v>
      </c>
      <c r="B123" s="6" t="s">
        <v>194</v>
      </c>
      <c r="C123" s="6" t="s">
        <v>195</v>
      </c>
      <c r="D123" s="5" t="n">
        <v>14</v>
      </c>
      <c r="E123" s="5" t="s">
        <v>10</v>
      </c>
    </row>
    <row r="124" customFormat="false" ht="15" hidden="false" customHeight="false" outlineLevel="0" collapsed="false">
      <c r="A124" s="5" t="n">
        <v>85</v>
      </c>
      <c r="B124" s="6" t="s">
        <v>196</v>
      </c>
      <c r="C124" s="6" t="s">
        <v>197</v>
      </c>
      <c r="D124" s="5" t="n">
        <v>12</v>
      </c>
      <c r="E124" s="5" t="s">
        <v>38</v>
      </c>
    </row>
    <row r="125" customFormat="false" ht="15" hidden="false" customHeight="false" outlineLevel="0" collapsed="false">
      <c r="A125" s="7" t="s">
        <v>19</v>
      </c>
      <c r="B125" s="7"/>
      <c r="C125" s="7"/>
      <c r="D125" s="8" t="n">
        <f aca="false">SUM(D122:D124)</f>
        <v>44</v>
      </c>
      <c r="E125" s="9"/>
    </row>
    <row r="127" customFormat="false" ht="24.75" hidden="false" customHeight="true" outlineLevel="0" collapsed="false">
      <c r="A127" s="10" t="s">
        <v>198</v>
      </c>
      <c r="B127" s="10"/>
      <c r="C127" s="10"/>
      <c r="D127" s="11" t="n">
        <f aca="false">D11+D18+D25+D31+D39+D47+D54+D62+D68+D75+D81+D86+D93+D98+D107+D113+D120+D125</f>
        <v>864</v>
      </c>
      <c r="E127" s="12"/>
    </row>
    <row r="129" customFormat="false" ht="21.75" hidden="false" customHeight="true" outlineLevel="0" collapsed="false">
      <c r="A129" s="4" t="s">
        <v>199</v>
      </c>
      <c r="B129" s="4"/>
      <c r="C129" s="4"/>
      <c r="D129" s="4"/>
      <c r="E129" s="4"/>
    </row>
    <row r="130" customFormat="false" ht="27.75" hidden="false" customHeight="true" outlineLevel="0" collapsed="false">
      <c r="A130" s="13" t="s">
        <v>200</v>
      </c>
      <c r="B130" s="13"/>
      <c r="C130" s="13"/>
      <c r="D130" s="13"/>
      <c r="E130" s="13"/>
    </row>
    <row r="131" customFormat="false" ht="27.75" hidden="false" customHeight="true" outlineLevel="0" collapsed="false">
      <c r="A131" s="13" t="s">
        <v>201</v>
      </c>
      <c r="B131" s="13"/>
      <c r="C131" s="13"/>
      <c r="D131" s="13"/>
      <c r="E131" s="13"/>
    </row>
    <row r="132" customFormat="false" ht="27.75" hidden="false" customHeight="true" outlineLevel="0" collapsed="false">
      <c r="A132" s="13" t="s">
        <v>202</v>
      </c>
      <c r="B132" s="13"/>
      <c r="C132" s="13"/>
      <c r="D132" s="13"/>
      <c r="E132" s="13"/>
    </row>
    <row r="133" customFormat="false" ht="27.75" hidden="false" customHeight="true" outlineLevel="0" collapsed="false">
      <c r="A133" s="13" t="s">
        <v>203</v>
      </c>
      <c r="B133" s="13"/>
      <c r="C133" s="13"/>
      <c r="D133" s="13"/>
      <c r="E133" s="13"/>
    </row>
    <row r="134" customFormat="false" ht="27.75" hidden="false" customHeight="true" outlineLevel="0" collapsed="false">
      <c r="A134" s="13" t="s">
        <v>204</v>
      </c>
      <c r="B134" s="13"/>
      <c r="C134" s="13"/>
      <c r="D134" s="13"/>
      <c r="E134" s="13"/>
    </row>
    <row r="135" customFormat="false" ht="27.75" hidden="false" customHeight="true" outlineLevel="0" collapsed="false">
      <c r="A135" s="13" t="s">
        <v>205</v>
      </c>
      <c r="B135" s="13"/>
      <c r="C135" s="13"/>
      <c r="D135" s="13"/>
      <c r="E135" s="13"/>
    </row>
    <row r="136" customFormat="false" ht="27.75" hidden="false" customHeight="true" outlineLevel="0" collapsed="false">
      <c r="A136" s="13" t="s">
        <v>206</v>
      </c>
      <c r="B136" s="13"/>
      <c r="C136" s="13"/>
      <c r="D136" s="13"/>
      <c r="E136" s="13"/>
    </row>
    <row r="137" customFormat="false" ht="27.75" hidden="false" customHeight="true" outlineLevel="0" collapsed="false">
      <c r="A137" s="13" t="s">
        <v>207</v>
      </c>
      <c r="B137" s="13"/>
      <c r="C137" s="13"/>
      <c r="D137" s="13"/>
      <c r="E137" s="13"/>
    </row>
    <row r="138" customFormat="false" ht="27.75" hidden="false" customHeight="true" outlineLevel="0" collapsed="false">
      <c r="A138" s="13" t="s">
        <v>208</v>
      </c>
      <c r="B138" s="13"/>
      <c r="C138" s="13"/>
      <c r="D138" s="13"/>
      <c r="E138" s="13"/>
    </row>
    <row r="139" customFormat="false" ht="27.75" hidden="false" customHeight="true" outlineLevel="0" collapsed="false">
      <c r="A139" s="13" t="s">
        <v>209</v>
      </c>
      <c r="B139" s="13"/>
      <c r="C139" s="13"/>
      <c r="D139" s="13"/>
      <c r="E139" s="13"/>
    </row>
  </sheetData>
  <mergeCells count="50">
    <mergeCell ref="A1:E1"/>
    <mergeCell ref="A2:E2"/>
    <mergeCell ref="A5:E5"/>
    <mergeCell ref="A11:C11"/>
    <mergeCell ref="A12:E12"/>
    <mergeCell ref="A18:C18"/>
    <mergeCell ref="A19:E19"/>
    <mergeCell ref="A25:C25"/>
    <mergeCell ref="A26:E26"/>
    <mergeCell ref="A31:C31"/>
    <mergeCell ref="A32:E32"/>
    <mergeCell ref="A39:C39"/>
    <mergeCell ref="A40:E40"/>
    <mergeCell ref="A47:C47"/>
    <mergeCell ref="A48:E48"/>
    <mergeCell ref="A54:C54"/>
    <mergeCell ref="A55:E55"/>
    <mergeCell ref="A62:C62"/>
    <mergeCell ref="A63:E63"/>
    <mergeCell ref="A68:C68"/>
    <mergeCell ref="A69:E69"/>
    <mergeCell ref="A75:C75"/>
    <mergeCell ref="A76:E76"/>
    <mergeCell ref="A81:C81"/>
    <mergeCell ref="A82:E82"/>
    <mergeCell ref="A86:C86"/>
    <mergeCell ref="A87:E87"/>
    <mergeCell ref="A93:C93"/>
    <mergeCell ref="A94:E94"/>
    <mergeCell ref="A98:C98"/>
    <mergeCell ref="A99:E99"/>
    <mergeCell ref="A107:C107"/>
    <mergeCell ref="A108:E108"/>
    <mergeCell ref="A113:C113"/>
    <mergeCell ref="A114:E114"/>
    <mergeCell ref="A120:C120"/>
    <mergeCell ref="A121:E121"/>
    <mergeCell ref="A125:C125"/>
    <mergeCell ref="A127:C127"/>
    <mergeCell ref="A129:E129"/>
    <mergeCell ref="A130:E130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39:E13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2026-04-28T01:00:22Z</dcterms:created>
  <dc:creator>openpyxl</dc:creator>
  <dc:description/>
  <dc:language>en-US</dc:language>
  <cp:lastModifiedBy/>
  <dcterms:modified xsi:type="dcterms:W3CDTF">2026-04-28T01:00:22Z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